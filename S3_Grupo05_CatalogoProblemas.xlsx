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alogo de problemas" sheetId="1" state="visible" r:id="rId3"/>
    <sheet name="Criterio de severidad" sheetId="2" state="visible" r:id="rId4"/>
  </sheets>
  <definedNames>
    <definedName function="false" hidden="true" localSheetId="0" name="_xlnm._FilterDatabase" vbProcedure="false">'Catalogo de problemas'!$A$1:$F$39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<sst xmlns="http://schemas.openxmlformats.org/spreadsheetml/2006/main" count="182" uniqueCount="95">
  <si>
    <t xml:space="preserve">Dimensión</t>
  </si>
  <si>
    <t xml:space="preserve">Columna afectada</t>
  </si>
  <si>
    <t xml:space="preserve">Descripción del problema</t>
  </si>
  <si>
    <t xml:space="preserve">Registros afectados</t>
  </si>
  <si>
    <t xml:space="preserve">% del dataset</t>
  </si>
  <si>
    <t xml:space="preserve">Severidad</t>
  </si>
  <si>
    <t xml:space="preserve">Total de filas auditadas</t>
  </si>
  <si>
    <t xml:space="preserve">Exactitud</t>
  </si>
  <si>
    <t xml:space="preserve">edad_cliente, id_cliente</t>
  </si>
  <si>
    <t xml:space="preserve">La edad varía dentro de un mismo cliente mucho más de lo que permite la ventana temporal del archivo. Los pedidos cubren 3 años, de modo que nadie puede envejecer más de 3, y sin embargo el rango mediano de edad dentro de un mismo cliente es de 40 años y el 97,9% de los clientes con dos o más pedidos supera el tope. No se puede reparar, puesto que no hay forma de saber cuál de las edades es la verdadera.</t>
  </si>
  <si>
    <t xml:space="preserve">Alta</t>
  </si>
  <si>
    <t xml:space="preserve">precio_unitario, producto</t>
  </si>
  <si>
    <t xml:space="preserve">No es posible validar el precio contra una referencia por artículo: el producto explica una fracción despreciable de la varianza del precio (eta cuadrado = 0,000026) y ninguno de los 120 grupos (producto, cantidad) tiene un precio único. El alcance es el complemento de las reglas de dominio: 640.000 menos los 21.640 sin dato, los 19.629 negativos y los 6.164 por encima de 10 millones. Son registros que ya pasaron todos los filtros absolutos y que aun así no se pueden dar por buenos ni por malos.</t>
  </si>
  <si>
    <t xml:space="preserve">correo_cliente</t>
  </si>
  <si>
    <t xml:space="preserve">El correo coincide con el id_pedido menos 100.000 en el 100% de los registros y nunca con el id_cliente, por lo que está asociado a la transacción y no a la persona. Un mismo cliente aparece con un correo distinto en cada compra y la columna no sirve como dato de contacto.</t>
  </si>
  <si>
    <t xml:space="preserve">Notas de lectura</t>
  </si>
  <si>
    <t xml:space="preserve">Consistencia</t>
  </si>
  <si>
    <t xml:space="preserve">ciudad_tienda</t>
  </si>
  <si>
    <t xml:space="preserve">88 variantes de escritura para 12 ciudades reales: mayúsculas, tildes, espacios sobrantes, contracciones (B/quilla, Sta. Marta), nombres largos (Santiago de Cali, Cartagena de Indias) y códigos de tres letras (BOG, MDE, CTG, BAQ, BGA, MZL, SMR).</t>
  </si>
  <si>
    <t xml:space="preserve">• El archivo entregado tiene 640.000 filas. El enunciado menciona 620.000, que es exactamente el tamaño resultante tras eliminar las 20.000 filas duplicadas.</t>
  </si>
  <si>
    <t xml:space="preserve">categoria_producto</t>
  </si>
  <si>
    <t xml:space="preserve">32 variantes de escritura para 6 categorías reales, incluido el par sinónimo Juguetería/juguetes, que la normalización tipográfica no resuelve por sí sola.</t>
  </si>
  <si>
    <t xml:space="preserve">fuga_cliente, id_cliente</t>
  </si>
  <si>
    <t xml:space="preserve">La condición de fuga alterna de forma repetida dentro del mismo cliente: 45.298 clientes entran y salen de ella dos o más veces, con un máximo de 8 alternancias, sobre una mediana de 4 pedidos por cliente. Un cliente que abandona y regresa tantas veces no describe un estado de abandono.</t>
  </si>
  <si>
    <t xml:space="preserve">canal_compra</t>
  </si>
  <si>
    <t xml:space="preserve">20 variantes de escritura para 4 canales (Web, App, Tienda, Marketplace) por diferencias de mayúsculas y espacios sobrantes.</t>
  </si>
  <si>
    <t xml:space="preserve">metodo_pago</t>
  </si>
  <si>
    <t xml:space="preserve">20 variantes de escritura para 4 medios de pago (Efectivo, Tarjeta, PayPal, Transferencia), con el mismo patrón de mayúsculas y espacios que canal_compra.</t>
  </si>
  <si>
    <t xml:space="preserve">nivel_satisfaccion</t>
  </si>
  <si>
    <t xml:space="preserve">15 variantes de escritura para 3 niveles (Alto, Medio, Bajo). Fragmenta cualquier agregado de satisfacción en varias clases que en realidad son la misma.</t>
  </si>
  <si>
    <t xml:space="preserve">• Todos los porcentajes usan 640.000 como denominador, de modo que las filas del catálogo son directamente comparables entre sí.</t>
  </si>
  <si>
    <t xml:space="preserve">Oportunidad</t>
  </si>
  <si>
    <t xml:space="preserve">fecha_pedido</t>
  </si>
  <si>
    <t xml:space="preserve">16.485 pedidos con fecha posterior a la fecha de corte de la auditoría (04/08/2026), hasta 2027. Invalida el eje temporal de cualquier serie de compras.</t>
  </si>
  <si>
    <t xml:space="preserve">fecha_actualizacion_stock</t>
  </si>
  <si>
    <t xml:space="preserve">La fecha de stock cambia en casi cada pedido: 0,89 fechas distintas por pedido dentro de cada pareja (sede, producto) y solo 37 de 7.406 grupos comparten una única fecha. Se comporta como un dato del pedido y no del inventario de la sede. El alcance es 640.000 menos los 995 registros verificables: 74 en los 37 grupos con fecha única y 921 en grupos de un solo pedido.</t>
  </si>
  <si>
    <t xml:space="preserve">Media</t>
  </si>
  <si>
    <t xml:space="preserve">peso_pedido_kg</t>
  </si>
  <si>
    <t xml:space="preserve">No es posible validar el peso contra el artículo ni contra la cantidad: eta cuadrado = 0,000046 frente al producto y correlación de -0,0009 frente a las unidades vendidas. Una bicicleta estática pesa en promedio lo mismo que una bufanda de lana. El alcance es 640.000 menos los 32.045 registros que ya se descartan por superar los 100 kg.</t>
  </si>
  <si>
    <t xml:space="preserve">fecha_pedido, fecha_actualizacion_stock</t>
  </si>
  <si>
    <t xml:space="preserve">Pedido y actualización de stock separados por más de 180 días. Impide medir latencia de inventario, rotación y quiebre de stock.</t>
  </si>
  <si>
    <t xml:space="preserve">fecha_actualizacion_stock, fecha_pedido</t>
  </si>
  <si>
    <t xml:space="preserve">Fecha de actualización de stock anterior a la fecha del pedido. Por sí solo no es imposible, puesto que el inventario se refresca de forma independiente de las ventas, pero la magnitud no tiene explicación operativa.</t>
  </si>
  <si>
    <t xml:space="preserve">• Los problemas no son mutuamente excluyentes y sus conteos NO deben sumarse. Solapamientos conocidos: monto_compra ≤ 0 es el arrastre aritmético de precio y unidades negativos; los faltantes de monto_compra coinciden con los de precio_unitario; los 5.698 '00/00/0000' se cuentan en completitud y también dentro de los 22.687 formatos de fecha no reconocibles; los faltantes de ciudad_tienda se excluyeron del cruce de exactitud para no contarlos dos veces.</t>
  </si>
  <si>
    <t xml:space="preserve">Pedidos que se apoyan en un recuento de stock hecho más de 180 días antes de la compra.</t>
  </si>
  <si>
    <t xml:space="preserve">Stock desactualizado: más de 180 días desde el último recuento, umbral adoptado porque pasado ese plazo el dato ya no describe la disponibilidad actual y la decisión de reposición sería a ciegas.</t>
  </si>
  <si>
    <t xml:space="preserve">No existe ningún registro fechado en 2025, pese a que sí hay 32.983 en 2023, 33.086 en 2024, 552.209 en 2026 y 21.722 en 2027. Por eso los umbrales de 180, 365 y 540 días devuelven la misma cifra. A confirmar con el área responsable si hubo cambio de sistema o migración.</t>
  </si>
  <si>
    <t xml:space="preserve">Validez</t>
  </si>
  <si>
    <t xml:space="preserve">Correos sin arroba, con la forma cliente593809.hotmail.com: el signo @ fue reemplazado por un punto. El perfilado por firma de patrón lo confirma de forma independiente.</t>
  </si>
  <si>
    <t xml:space="preserve">Completitud</t>
  </si>
  <si>
    <t xml:space="preserve">Registros sin nivel de satisfacción. Se pierde la observación en todo cruce de satisfacción y la ausencia puede no ser aleatoria.</t>
  </si>
  <si>
    <t xml:space="preserve">• Las tres filas con 'alcance' en la descripción no son errores puntuales sino columnas que no se pueden validar contra la entidad que dicen describir. El número reportado es la cantidad de registros cuya verificación queda sin resolver.</t>
  </si>
  <si>
    <t xml:space="preserve">monto_compra</t>
  </si>
  <si>
    <t xml:space="preserve">Monto de compra menor o igual a cero. Es el arrastre aritmético exacto de los precios y las unidades negativas, no un error propio de la columna: corregir el origen corrige el derivado.</t>
  </si>
  <si>
    <t xml:space="preserve">ciudad_tienda, codigo_postal</t>
  </si>
  <si>
    <t xml:space="preserve">El municipio DANE contenido en los 5 primeros dígitos del código postal no corresponde a la ciudad declarada. Verificado contra la codificación DIVIPOLA oficial. Se reparte en 132 combinaciones distintas, con 321 registros de promedio cada una.</t>
  </si>
  <si>
    <t xml:space="preserve">Peso superior a 100 kg, hasta 1.399,9 kg, sobre una mediana de 11,7 kg, en un catálogo de bienes de consumo de tamaño medio.</t>
  </si>
  <si>
    <t xml:space="preserve">Registros sin ciudad de tienda. Rompe la segmentación geográfica, aunque son imputables de forma determinista desde codigo_postal, que está completo al 100%.</t>
  </si>
  <si>
    <t xml:space="preserve">unidades_vendidas</t>
  </si>
  <si>
    <t xml:space="preserve">Unidades vendidas menores o iguales a cero: 18.550 negativas, hasta -3 unidades por pedido, y 9.327 pedidos registrados con cero unidades.</t>
  </si>
  <si>
    <t xml:space="preserve">• Toda cifra de este catálogo se calcula en una celda de código del notebook; ninguna se escribió a mano. Se descartó a propósito un hallazgo candidato: nivel_lealtad toma varios valores dentro de un mismo cliente (87,1%), pero el segmento de lealtad sube y baja con el comportamiento de compra por diseño, de modo que el cambio es legítimo y no hay un tope que permita separar el válido del inválido. Medirlo no prueba nada y por eso no se reporta. La edad sí se reporta porque su cambio tiene un techo verificable: la ventana de pedidos.</t>
  </si>
  <si>
    <t xml:space="preserve">edad_cliente</t>
  </si>
  <si>
    <t xml:space="preserve">Edad fuera del rango 0 a 120 años: valores negativos hasta -5 y hasta 200 años.</t>
  </si>
  <si>
    <t xml:space="preserve">Fechas no convertibles a una fecha real. Son cuatro valores: 30/02/2025 (5.675), 31/04/2025 (5.688), 2026-13-05 (5.626) y 00/00/0000 (5.698). Los tres primeros son errores de digitación; el cuarto es un dato ausente y se cuenta también en completitud.</t>
  </si>
  <si>
    <t xml:space="preserve">precio_unitario</t>
  </si>
  <si>
    <t xml:space="preserve">Registros sin precio unitario. Entra en cálculos monetarios, por lo que imputarlo con la media distorsiona los agregados de venta.</t>
  </si>
  <si>
    <t xml:space="preserve">Registros sin monto de compra. Son exactamente las mismas filas que las de precio_unitario, porque el monto se deriva de él.</t>
  </si>
  <si>
    <t xml:space="preserve">Unicidad</t>
  </si>
  <si>
    <t xml:space="preserve">todas las columnas</t>
  </si>
  <si>
    <t xml:space="preserve">20.000 pedidos duplicados: el id_pedido se repite y además la fila es idéntica en las 20 columnas y cada identificador afectado aparece exactamente dos veces. Es una carga duplicada del archivo y no una colisión real de clave.</t>
  </si>
  <si>
    <t xml:space="preserve">• Una misma columna puede aparecer varias veces y no hay contradicción en ello. Las reglas de dominio son absolutas y no necesitan referencia (un precio no puede ser negativo); la validación contra referencia es relativa y sí la necesita (¿es $305.600 el precio correcto de un Rompecabezas?). El alcance es siempre el complemento exacto de las reglas de dominio de esa columna, de modo que ambas cifras suman 640.000 y no se pisan entre sí.</t>
  </si>
  <si>
    <t xml:space="preserve">Precio unitario negativo, hasta -$888.100. Afecta directamente el cálculo de ingresos y arrastra el error a monto_compra.</t>
  </si>
  <si>
    <t xml:space="preserve">Unidades atípicas fuera de toda escala minorista, concentradas en solo dos valores: 5.000 y 9.999. Apunta a marcadores del sistema de origen antes que a errores de digitación.</t>
  </si>
  <si>
    <t xml:space="preserve">Monto de compra por encima de 1.000 millones de pesos en valor absoluto.</t>
  </si>
  <si>
    <t xml:space="preserve">Precio unitario superior a $10.000.000, con un máximo de $999.000.000 idéntico en los 24 productos. Un tope repetido de esa forma apunta a un marcador del sistema de origen.</t>
  </si>
  <si>
    <t xml:space="preserve">Registros sin fecha de pedido, escritos como el texto 00/00/0000. Con el conteo tradicional de nulos la columna figura como completa al 100% porque las celdas tienen contenido; solo aparecen al leer el archivo en texto crudo.</t>
  </si>
  <si>
    <t xml:space="preserve">• Cifras verificadas contra NovaMarket_datos_crudos.csv y alineadas una a una con el notebook S3_Grupo05_AuditoriaCalidad.ipynb.</t>
  </si>
  <si>
    <t xml:space="preserve">Precio unitario superior a 100 millones de pesos.</t>
  </si>
  <si>
    <t xml:space="preserve">Registros sin correo electrónico. Es el faltante de mayor volumen, pero no entra en promedios, sumas ni modelos, de modo que puede dejarse vacío o marcarse como desconocido.</t>
  </si>
  <si>
    <t xml:space="preserve">Baja</t>
  </si>
  <si>
    <t xml:space="preserve">comentario_cliente</t>
  </si>
  <si>
    <t xml:space="preserve">Registros sin comentario. Es un texto libre opcional y su ausencia es informativa en sí misma, por lo que no debería imputarse.</t>
  </si>
  <si>
    <t xml:space="preserve">Fecha de actualización de stock posterior a la fecha de corte de la auditoría.</t>
  </si>
  <si>
    <t xml:space="preserve">Nivel</t>
  </si>
  <si>
    <t xml:space="preserve">Criterio aplicado</t>
  </si>
  <si>
    <t xml:space="preserve">Problemas</t>
  </si>
  <si>
    <t xml:space="preserve">Ejemplo de este catálogo</t>
  </si>
  <si>
    <t xml:space="preserve">Afecta a una porción amplia del dataset y/o compromete una dimensión de análisis completa: segmentación geográfica, series temporales, agregados de satisfacción o cualquier análisis por cliente.</t>
  </si>
  <si>
    <t xml:space="preserve">Los atributos del cliente cambian entre pedidos: 627.505 registros y ninguna forma de reconstruir el valor verdadero.</t>
  </si>
  <si>
    <t xml:space="preserve">Afecta variables que entran en cálculos, en proporción moderada, o es corregible con reglas claras y verificables sin necesidad de volver al origen.</t>
  </si>
  <si>
    <t xml:space="preserve">20.000 filas duplicadas: 3,12% del dataset y se resuelve con una sola instrucción, sin pérdida de información.</t>
  </si>
  <si>
    <t xml:space="preserve">Baja proporción y/o sin efecto directo sobre métricas de negocio, o ausencia que es informativa por sí misma.</t>
  </si>
  <si>
    <t xml:space="preserve">correo_cliente faltante: 16,46% del dataset, el mayor volumen de nulos, pero no participa en ningún cálculo.</t>
  </si>
  <si>
    <t xml:space="preserve">Total</t>
  </si>
  <si>
    <t xml:space="preserve">Nota. La severidad combina la magnitud (proporción de registros afectados) con la criticidad funcional (qué análisis se rompe), no solo el volumen. Por eso un problema que toca el 3% de los registros puede ser Alto y uno que toca el 16% puede ser Bajo.</t>
  </si>
</sst>
</file>

<file path=xl/styles.xml><?xml version="1.0" encoding="utf-8"?>
<styleSheet xmlns="http://schemas.openxmlformats.org/spreadsheetml/2006/main">
  <numFmts count="4">
    <numFmt numFmtId="164" formatCode="General"/>
    <numFmt numFmtId="165" formatCode="#,##0"/>
    <numFmt numFmtId="166" formatCode="0.00%"/>
    <numFmt numFmtId="167" formatCode="General"/>
  </numFmts>
  <fonts count="1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1F3B4D"/>
      <name val="Arial"/>
      <family val="0"/>
      <charset val="1"/>
    </font>
    <font>
      <sz val="10"/>
      <name val="Arial"/>
      <family val="0"/>
      <charset val="1"/>
    </font>
    <font>
      <b val="true"/>
      <sz val="10"/>
      <color rgb="FFC0392B"/>
      <name val="Arial"/>
      <family val="0"/>
      <charset val="1"/>
    </font>
    <font>
      <b val="true"/>
      <sz val="14"/>
      <name val="Arial"/>
      <family val="0"/>
      <charset val="1"/>
    </font>
    <font>
      <sz val="9"/>
      <color rgb="FF444444"/>
      <name val="Arial"/>
      <family val="0"/>
      <charset val="1"/>
    </font>
    <font>
      <b val="true"/>
      <sz val="10"/>
      <color rgb="FFD68910"/>
      <name val="Arial"/>
      <family val="0"/>
      <charset val="1"/>
    </font>
    <font>
      <b val="true"/>
      <sz val="10"/>
      <color rgb="FF5D8AA8"/>
      <name val="Arial"/>
      <family val="0"/>
      <charset val="1"/>
    </font>
    <font>
      <b val="true"/>
      <sz val="11"/>
      <color rgb="FFC0392B"/>
      <name val="Arial"/>
      <family val="0"/>
      <charset val="1"/>
    </font>
    <font>
      <b val="true"/>
      <sz val="11"/>
      <color rgb="FFD68910"/>
      <name val="Arial"/>
      <family val="0"/>
      <charset val="1"/>
    </font>
    <font>
      <b val="true"/>
      <sz val="11"/>
      <color rgb="FF5D8AA8"/>
      <name val="Arial"/>
      <family val="0"/>
      <charset val="1"/>
    </font>
    <font>
      <b val="true"/>
      <sz val="11"/>
      <name val="Arial"/>
      <family val="0"/>
      <charset val="1"/>
    </font>
    <font>
      <i val="true"/>
      <sz val="9"/>
      <color rgb="FF444444"/>
      <name val="Arial"/>
      <family val="0"/>
      <charset val="1"/>
    </font>
  </fonts>
  <fills count="5">
    <fill>
      <patternFill patternType="none"/>
    </fill>
    <fill>
      <patternFill patternType="gray125"/>
    </fill>
    <fill>
      <patternFill patternType="solid">
        <fgColor rgb="FF1F3B4D"/>
        <bgColor rgb="FF003366"/>
      </patternFill>
    </fill>
    <fill>
      <patternFill patternType="solid">
        <fgColor rgb="FFEEF3F6"/>
        <bgColor rgb="FFFFFFFF"/>
      </patternFill>
    </fill>
    <fill>
      <patternFill patternType="solid">
        <fgColor rgb="FFFFF6CC"/>
        <bgColor rgb="FFEEF3F6"/>
      </patternFill>
    </fill>
  </fills>
  <borders count="2">
    <border diagonalUp="false" diagonalDown="false">
      <left/>
      <right/>
      <top/>
      <bottom/>
      <diagonal/>
    </border>
    <border diagonalUp="false" diagonalDown="false">
      <left style="thin">
        <color rgb="FFBFD0D9"/>
      </left>
      <right style="thin">
        <color rgb="FFBFD0D9"/>
      </right>
      <top style="thin">
        <color rgb="FFBFD0D9"/>
      </top>
      <bottom style="thin">
        <color rgb="FFBFD0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5" fontId="6" fillId="3" borderId="1" xfId="0" applyFont="true" applyBorder="true" applyAlignment="true" applyProtection="false">
      <alignment horizontal="center" vertical="top" textRotation="0" wrapText="false" indent="0" shrinkToFit="false"/>
      <protection locked="true" hidden="false"/>
    </xf>
    <xf numFmtId="166" fontId="6"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B4D"/>
          <bgColor rgb="FF000000"/>
        </patternFill>
      </fill>
    </dxf>
    <dxf>
      <fill>
        <patternFill patternType="solid">
          <fgColor rgb="FFEEF3F6"/>
          <bgColor rgb="FF000000"/>
        </patternFill>
      </fill>
    </dxf>
    <dxf>
      <fill>
        <patternFill patternType="solid">
          <bgColor rgb="FF000000"/>
        </patternFill>
      </fill>
    </dxf>
    <dxf>
      <fill>
        <patternFill patternType="solid">
          <fgColor rgb="FFFFFFFF"/>
          <bgColor rgb="FF000000"/>
        </patternFill>
      </fill>
    </dxf>
    <dxf>
      <fill>
        <patternFill patternType="solid">
          <fgColor rgb="FF5D8AA8"/>
          <bgColor rgb="FF000000"/>
        </patternFill>
      </fill>
    </dxf>
    <dxf>
      <fill>
        <patternFill patternType="solid">
          <fgColor rgb="FFC0392B"/>
          <bgColor rgb="FF000000"/>
        </patternFill>
      </fill>
    </dxf>
    <dxf>
      <fill>
        <patternFill patternType="solid">
          <fgColor rgb="FFD6891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D8AA8"/>
      <rgbColor rgb="FF9999FF"/>
      <rgbColor rgb="FF993366"/>
      <rgbColor rgb="FFFFF6CC"/>
      <rgbColor rgb="FFEEF3F6"/>
      <rgbColor rgb="FF660066"/>
      <rgbColor rgb="FFFF8080"/>
      <rgbColor rgb="FF0066CC"/>
      <rgbColor rgb="FFBFD0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68910"/>
      <rgbColor rgb="FFFF6600"/>
      <rgbColor rgb="FF666699"/>
      <rgbColor rgb="FF969696"/>
      <rgbColor rgb="FF003366"/>
      <rgbColor rgb="FF339966"/>
      <rgbColor rgb="FF003300"/>
      <rgbColor rgb="FF444444"/>
      <rgbColor rgb="FFC0392B"/>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78"/>
    <col collapsed="false" customWidth="true" hidden="false" outlineLevel="0" max="4" min="4" style="0" width="13"/>
    <col collapsed="false" customWidth="true" hidden="false" outlineLevel="0" max="5" min="5" style="0" width="12"/>
    <col collapsed="false" customWidth="true" hidden="false" outlineLevel="0" max="6" min="6" style="0" width="11"/>
    <col collapsed="false" customWidth="true" hidden="false" outlineLevel="0" max="7" min="7" style="0" width="3"/>
    <col collapsed="false" customWidth="true" hidden="false" outlineLevel="0" max="8" min="8" style="0" width="60"/>
  </cols>
  <sheetData>
    <row r="1" customFormat="false" ht="25.5" hidden="false" customHeight="true" outlineLevel="0" collapsed="false">
      <c r="A1" s="1" t="s">
        <v>0</v>
      </c>
      <c r="B1" s="1" t="s">
        <v>1</v>
      </c>
      <c r="C1" s="1" t="s">
        <v>2</v>
      </c>
      <c r="D1" s="1" t="s">
        <v>3</v>
      </c>
      <c r="E1" s="1" t="s">
        <v>4</v>
      </c>
      <c r="F1" s="1" t="s">
        <v>5</v>
      </c>
      <c r="H1" s="2" t="s">
        <v>6</v>
      </c>
    </row>
    <row r="2" customFormat="false" ht="45.75" hidden="false" customHeight="true" outlineLevel="0" collapsed="false">
      <c r="A2" s="3" t="s">
        <v>7</v>
      </c>
      <c r="B2" s="4" t="s">
        <v>8</v>
      </c>
      <c r="C2" s="4" t="s">
        <v>9</v>
      </c>
      <c r="D2" s="5" t="n">
        <v>622458</v>
      </c>
      <c r="E2" s="6" t="n">
        <f aca="false">D2/$H$2</f>
        <v>0.972590625</v>
      </c>
      <c r="F2" s="7" t="s">
        <v>10</v>
      </c>
      <c r="H2" s="8" t="n">
        <v>640000</v>
      </c>
    </row>
    <row r="3" customFormat="false" ht="45.75" hidden="false" customHeight="true" outlineLevel="0" collapsed="false">
      <c r="A3" s="9" t="s">
        <v>7</v>
      </c>
      <c r="B3" s="10" t="s">
        <v>11</v>
      </c>
      <c r="C3" s="10" t="s">
        <v>12</v>
      </c>
      <c r="D3" s="11" t="n">
        <v>592567</v>
      </c>
      <c r="E3" s="12" t="n">
        <f aca="false">D3/$H$2</f>
        <v>0.9258859375</v>
      </c>
      <c r="F3" s="13" t="s">
        <v>10</v>
      </c>
    </row>
    <row r="4" customFormat="false" ht="45.75" hidden="false" customHeight="true" outlineLevel="0" collapsed="false">
      <c r="A4" s="3" t="s">
        <v>7</v>
      </c>
      <c r="B4" s="4" t="s">
        <v>13</v>
      </c>
      <c r="C4" s="4" t="s">
        <v>14</v>
      </c>
      <c r="D4" s="5" t="n">
        <v>534688</v>
      </c>
      <c r="E4" s="6" t="n">
        <f aca="false">D4/$H$2</f>
        <v>0.83545</v>
      </c>
      <c r="F4" s="7" t="s">
        <v>10</v>
      </c>
      <c r="H4" s="2" t="s">
        <v>15</v>
      </c>
    </row>
    <row r="5" customFormat="false" ht="45.75" hidden="false" customHeight="true" outlineLevel="0" collapsed="false">
      <c r="A5" s="9" t="s">
        <v>16</v>
      </c>
      <c r="B5" s="10" t="s">
        <v>17</v>
      </c>
      <c r="C5" s="10" t="s">
        <v>18</v>
      </c>
      <c r="D5" s="11" t="n">
        <v>314864</v>
      </c>
      <c r="E5" s="12" t="n">
        <f aca="false">D5/$H$2</f>
        <v>0.491975</v>
      </c>
      <c r="F5" s="13" t="s">
        <v>10</v>
      </c>
      <c r="H5" s="14" t="s">
        <v>19</v>
      </c>
    </row>
    <row r="6" customFormat="false" ht="45.75" hidden="false" customHeight="true" outlineLevel="0" collapsed="false">
      <c r="A6" s="3" t="s">
        <v>16</v>
      </c>
      <c r="B6" s="4" t="s">
        <v>20</v>
      </c>
      <c r="C6" s="4" t="s">
        <v>21</v>
      </c>
      <c r="D6" s="5" t="n">
        <v>304697</v>
      </c>
      <c r="E6" s="6" t="n">
        <f aca="false">D6/$H$2</f>
        <v>0.4760890625</v>
      </c>
      <c r="F6" s="7" t="s">
        <v>10</v>
      </c>
      <c r="H6" s="14"/>
    </row>
    <row r="7" customFormat="false" ht="45.75" hidden="false" customHeight="true" outlineLevel="0" collapsed="false">
      <c r="A7" s="9" t="s">
        <v>7</v>
      </c>
      <c r="B7" s="10" t="s">
        <v>22</v>
      </c>
      <c r="C7" s="10" t="s">
        <v>23</v>
      </c>
      <c r="D7" s="11" t="n">
        <v>259564</v>
      </c>
      <c r="E7" s="12" t="n">
        <f aca="false">D7/$H$2</f>
        <v>0.40556875</v>
      </c>
      <c r="F7" s="13" t="s">
        <v>10</v>
      </c>
      <c r="H7" s="14"/>
    </row>
    <row r="8" customFormat="false" ht="45.75" hidden="false" customHeight="true" outlineLevel="0" collapsed="false">
      <c r="A8" s="3" t="s">
        <v>16</v>
      </c>
      <c r="B8" s="4" t="s">
        <v>24</v>
      </c>
      <c r="C8" s="4" t="s">
        <v>25</v>
      </c>
      <c r="D8" s="5" t="n">
        <v>154781</v>
      </c>
      <c r="E8" s="6" t="n">
        <f aca="false">D8/$H$2</f>
        <v>0.2418453125</v>
      </c>
      <c r="F8" s="7" t="s">
        <v>10</v>
      </c>
      <c r="H8" s="14"/>
    </row>
    <row r="9" customFormat="false" ht="45.75" hidden="false" customHeight="true" outlineLevel="0" collapsed="false">
      <c r="A9" s="9" t="s">
        <v>16</v>
      </c>
      <c r="B9" s="10" t="s">
        <v>26</v>
      </c>
      <c r="C9" s="10" t="s">
        <v>27</v>
      </c>
      <c r="D9" s="11" t="n">
        <v>129372</v>
      </c>
      <c r="E9" s="12" t="n">
        <f aca="false">D9/$H$2</f>
        <v>0.20214375</v>
      </c>
      <c r="F9" s="13" t="s">
        <v>10</v>
      </c>
    </row>
    <row r="10" customFormat="false" ht="45.75" hidden="false" customHeight="true" outlineLevel="0" collapsed="false">
      <c r="A10" s="3" t="s">
        <v>16</v>
      </c>
      <c r="B10" s="4" t="s">
        <v>28</v>
      </c>
      <c r="C10" s="4" t="s">
        <v>29</v>
      </c>
      <c r="D10" s="5" t="n">
        <v>95706</v>
      </c>
      <c r="E10" s="6" t="n">
        <f aca="false">D10/$H$2</f>
        <v>0.149540625</v>
      </c>
      <c r="F10" s="7" t="s">
        <v>10</v>
      </c>
      <c r="H10" s="14" t="s">
        <v>30</v>
      </c>
    </row>
    <row r="11" customFormat="false" ht="45.75" hidden="false" customHeight="true" outlineLevel="0" collapsed="false">
      <c r="A11" s="9" t="s">
        <v>31</v>
      </c>
      <c r="B11" s="10" t="s">
        <v>32</v>
      </c>
      <c r="C11" s="10" t="s">
        <v>33</v>
      </c>
      <c r="D11" s="11" t="n">
        <v>16485</v>
      </c>
      <c r="E11" s="12" t="n">
        <f aca="false">D11/$H$2</f>
        <v>0.0257578125</v>
      </c>
      <c r="F11" s="13" t="s">
        <v>10</v>
      </c>
      <c r="H11" s="14"/>
    </row>
    <row r="12" customFormat="false" ht="45.75" hidden="false" customHeight="true" outlineLevel="0" collapsed="false">
      <c r="A12" s="3" t="s">
        <v>31</v>
      </c>
      <c r="B12" s="4" t="s">
        <v>34</v>
      </c>
      <c r="C12" s="4" t="s">
        <v>35</v>
      </c>
      <c r="D12" s="5" t="n">
        <v>639005</v>
      </c>
      <c r="E12" s="6" t="n">
        <f aca="false">D12/$H$2</f>
        <v>0.9984453125</v>
      </c>
      <c r="F12" s="15" t="s">
        <v>36</v>
      </c>
      <c r="H12" s="14"/>
    </row>
    <row r="13" customFormat="false" ht="45.75" hidden="false" customHeight="true" outlineLevel="0" collapsed="false">
      <c r="A13" s="9" t="s">
        <v>7</v>
      </c>
      <c r="B13" s="10" t="s">
        <v>37</v>
      </c>
      <c r="C13" s="10" t="s">
        <v>38</v>
      </c>
      <c r="D13" s="11" t="n">
        <v>607955</v>
      </c>
      <c r="E13" s="12" t="n">
        <f aca="false">D13/$H$2</f>
        <v>0.9499296875</v>
      </c>
      <c r="F13" s="16" t="s">
        <v>36</v>
      </c>
      <c r="H13" s="14"/>
    </row>
    <row r="14" customFormat="false" ht="45.75" hidden="false" customHeight="true" outlineLevel="0" collapsed="false">
      <c r="A14" s="3" t="s">
        <v>31</v>
      </c>
      <c r="B14" s="4" t="s">
        <v>39</v>
      </c>
      <c r="C14" s="4" t="s">
        <v>40</v>
      </c>
      <c r="D14" s="5" t="n">
        <v>422000</v>
      </c>
      <c r="E14" s="6" t="n">
        <f aca="false">D14/$H$2</f>
        <v>0.659375</v>
      </c>
      <c r="F14" s="15" t="s">
        <v>36</v>
      </c>
    </row>
    <row r="15" customFormat="false" ht="45.75" hidden="false" customHeight="true" outlineLevel="0" collapsed="false">
      <c r="A15" s="9" t="s">
        <v>31</v>
      </c>
      <c r="B15" s="10" t="s">
        <v>41</v>
      </c>
      <c r="C15" s="10" t="s">
        <v>42</v>
      </c>
      <c r="D15" s="11" t="n">
        <v>102835</v>
      </c>
      <c r="E15" s="12" t="n">
        <f aca="false">D15/$H$2</f>
        <v>0.1606796875</v>
      </c>
      <c r="F15" s="16" t="s">
        <v>36</v>
      </c>
      <c r="H15" s="14" t="s">
        <v>43</v>
      </c>
    </row>
    <row r="16" customFormat="false" ht="45.75" hidden="false" customHeight="true" outlineLevel="0" collapsed="false">
      <c r="A16" s="3" t="s">
        <v>31</v>
      </c>
      <c r="B16" s="4" t="s">
        <v>39</v>
      </c>
      <c r="C16" s="4" t="s">
        <v>44</v>
      </c>
      <c r="D16" s="5" t="n">
        <v>75206</v>
      </c>
      <c r="E16" s="6" t="n">
        <f aca="false">D16/$H$2</f>
        <v>0.117509375</v>
      </c>
      <c r="F16" s="15" t="s">
        <v>36</v>
      </c>
      <c r="H16" s="14"/>
    </row>
    <row r="17" customFormat="false" ht="45.75" hidden="false" customHeight="true" outlineLevel="0" collapsed="false">
      <c r="A17" s="9" t="s">
        <v>31</v>
      </c>
      <c r="B17" s="10" t="s">
        <v>34</v>
      </c>
      <c r="C17" s="10" t="s">
        <v>45</v>
      </c>
      <c r="D17" s="11" t="n">
        <v>66069</v>
      </c>
      <c r="E17" s="12" t="n">
        <f aca="false">D17/$H$2</f>
        <v>0.1032328125</v>
      </c>
      <c r="F17" s="16" t="s">
        <v>36</v>
      </c>
      <c r="H17" s="14"/>
    </row>
    <row r="18" customFormat="false" ht="45.75" hidden="false" customHeight="true" outlineLevel="0" collapsed="false">
      <c r="A18" s="3" t="s">
        <v>31</v>
      </c>
      <c r="B18" s="4" t="s">
        <v>34</v>
      </c>
      <c r="C18" s="4" t="s">
        <v>46</v>
      </c>
      <c r="D18" s="5" t="n">
        <v>66069</v>
      </c>
      <c r="E18" s="6" t="n">
        <f aca="false">D18/$H$2</f>
        <v>0.1032328125</v>
      </c>
      <c r="F18" s="15" t="s">
        <v>36</v>
      </c>
      <c r="H18" s="14"/>
    </row>
    <row r="19" customFormat="false" ht="45.75" hidden="false" customHeight="true" outlineLevel="0" collapsed="false">
      <c r="A19" s="9" t="s">
        <v>47</v>
      </c>
      <c r="B19" s="10" t="s">
        <v>13</v>
      </c>
      <c r="C19" s="10" t="s">
        <v>48</v>
      </c>
      <c r="D19" s="11" t="n">
        <v>51532</v>
      </c>
      <c r="E19" s="12" t="n">
        <f aca="false">D19/$H$2</f>
        <v>0.08051875</v>
      </c>
      <c r="F19" s="16" t="s">
        <v>36</v>
      </c>
    </row>
    <row r="20" customFormat="false" ht="45.75" hidden="false" customHeight="true" outlineLevel="0" collapsed="false">
      <c r="A20" s="3" t="s">
        <v>49</v>
      </c>
      <c r="B20" s="4" t="s">
        <v>28</v>
      </c>
      <c r="C20" s="4" t="s">
        <v>50</v>
      </c>
      <c r="D20" s="5" t="n">
        <v>46469</v>
      </c>
      <c r="E20" s="6" t="n">
        <f aca="false">D20/$H$2</f>
        <v>0.0726078125</v>
      </c>
      <c r="F20" s="15" t="s">
        <v>36</v>
      </c>
      <c r="H20" s="14" t="s">
        <v>51</v>
      </c>
    </row>
    <row r="21" customFormat="false" ht="45.75" hidden="false" customHeight="true" outlineLevel="0" collapsed="false">
      <c r="A21" s="9" t="s">
        <v>47</v>
      </c>
      <c r="B21" s="10" t="s">
        <v>52</v>
      </c>
      <c r="C21" s="10" t="s">
        <v>53</v>
      </c>
      <c r="D21" s="11" t="n">
        <v>45182</v>
      </c>
      <c r="E21" s="12" t="n">
        <f aca="false">D21/$H$2</f>
        <v>0.070596875</v>
      </c>
      <c r="F21" s="16" t="s">
        <v>36</v>
      </c>
      <c r="H21" s="14"/>
    </row>
    <row r="22" customFormat="false" ht="45.75" hidden="false" customHeight="true" outlineLevel="0" collapsed="false">
      <c r="A22" s="3" t="s">
        <v>7</v>
      </c>
      <c r="B22" s="4" t="s">
        <v>54</v>
      </c>
      <c r="C22" s="4" t="s">
        <v>55</v>
      </c>
      <c r="D22" s="5" t="n">
        <v>42405</v>
      </c>
      <c r="E22" s="6" t="n">
        <f aca="false">D22/$H$2</f>
        <v>0.0662578125</v>
      </c>
      <c r="F22" s="15" t="s">
        <v>36</v>
      </c>
      <c r="H22" s="14"/>
    </row>
    <row r="23" customFormat="false" ht="45.75" hidden="false" customHeight="true" outlineLevel="0" collapsed="false">
      <c r="A23" s="9" t="s">
        <v>47</v>
      </c>
      <c r="B23" s="10" t="s">
        <v>37</v>
      </c>
      <c r="C23" s="10" t="s">
        <v>56</v>
      </c>
      <c r="D23" s="11" t="n">
        <v>32045</v>
      </c>
      <c r="E23" s="12" t="n">
        <f aca="false">D23/$H$2</f>
        <v>0.0500703125</v>
      </c>
      <c r="F23" s="16" t="s">
        <v>36</v>
      </c>
      <c r="H23" s="14"/>
    </row>
    <row r="24" customFormat="false" ht="45.75" hidden="false" customHeight="true" outlineLevel="0" collapsed="false">
      <c r="A24" s="3" t="s">
        <v>49</v>
      </c>
      <c r="B24" s="4" t="s">
        <v>17</v>
      </c>
      <c r="C24" s="4" t="s">
        <v>57</v>
      </c>
      <c r="D24" s="5" t="n">
        <v>29928</v>
      </c>
      <c r="E24" s="6" t="n">
        <f aca="false">D24/$H$2</f>
        <v>0.0467625</v>
      </c>
      <c r="F24" s="15" t="s">
        <v>36</v>
      </c>
    </row>
    <row r="25" customFormat="false" ht="45.75" hidden="false" customHeight="true" outlineLevel="0" collapsed="false">
      <c r="A25" s="9" t="s">
        <v>47</v>
      </c>
      <c r="B25" s="10" t="s">
        <v>58</v>
      </c>
      <c r="C25" s="10" t="s">
        <v>59</v>
      </c>
      <c r="D25" s="11" t="n">
        <v>27877</v>
      </c>
      <c r="E25" s="12" t="n">
        <f aca="false">D25/$H$2</f>
        <v>0.0435578125</v>
      </c>
      <c r="F25" s="16" t="s">
        <v>36</v>
      </c>
      <c r="H25" s="14" t="s">
        <v>60</v>
      </c>
    </row>
    <row r="26" customFormat="false" ht="45.75" hidden="false" customHeight="true" outlineLevel="0" collapsed="false">
      <c r="A26" s="3" t="s">
        <v>47</v>
      </c>
      <c r="B26" s="4" t="s">
        <v>61</v>
      </c>
      <c r="C26" s="4" t="s">
        <v>62</v>
      </c>
      <c r="D26" s="5" t="n">
        <v>27829</v>
      </c>
      <c r="E26" s="6" t="n">
        <f aca="false">D26/$H$2</f>
        <v>0.0434828125</v>
      </c>
      <c r="F26" s="15" t="s">
        <v>36</v>
      </c>
      <c r="H26" s="14"/>
    </row>
    <row r="27" customFormat="false" ht="45.75" hidden="false" customHeight="true" outlineLevel="0" collapsed="false">
      <c r="A27" s="9" t="s">
        <v>47</v>
      </c>
      <c r="B27" s="10" t="s">
        <v>32</v>
      </c>
      <c r="C27" s="10" t="s">
        <v>63</v>
      </c>
      <c r="D27" s="11" t="n">
        <v>22687</v>
      </c>
      <c r="E27" s="12" t="n">
        <f aca="false">D27/$H$2</f>
        <v>0.0354484375</v>
      </c>
      <c r="F27" s="16" t="s">
        <v>36</v>
      </c>
      <c r="H27" s="14"/>
    </row>
    <row r="28" customFormat="false" ht="45.75" hidden="false" customHeight="true" outlineLevel="0" collapsed="false">
      <c r="A28" s="3" t="s">
        <v>49</v>
      </c>
      <c r="B28" s="4" t="s">
        <v>64</v>
      </c>
      <c r="C28" s="4" t="s">
        <v>65</v>
      </c>
      <c r="D28" s="5" t="n">
        <v>21640</v>
      </c>
      <c r="E28" s="6" t="n">
        <f aca="false">D28/$H$2</f>
        <v>0.0338125</v>
      </c>
      <c r="F28" s="15" t="s">
        <v>36</v>
      </c>
      <c r="H28" s="14"/>
    </row>
    <row r="29" customFormat="false" ht="45.75" hidden="false" customHeight="true" outlineLevel="0" collapsed="false">
      <c r="A29" s="9" t="s">
        <v>49</v>
      </c>
      <c r="B29" s="10" t="s">
        <v>52</v>
      </c>
      <c r="C29" s="10" t="s">
        <v>66</v>
      </c>
      <c r="D29" s="11" t="n">
        <v>21640</v>
      </c>
      <c r="E29" s="12" t="n">
        <f aca="false">D29/$H$2</f>
        <v>0.0338125</v>
      </c>
      <c r="F29" s="16" t="s">
        <v>36</v>
      </c>
    </row>
    <row r="30" customFormat="false" ht="45.75" hidden="false" customHeight="true" outlineLevel="0" collapsed="false">
      <c r="A30" s="3" t="s">
        <v>67</v>
      </c>
      <c r="B30" s="4" t="s">
        <v>68</v>
      </c>
      <c r="C30" s="4" t="s">
        <v>69</v>
      </c>
      <c r="D30" s="5" t="n">
        <v>20000</v>
      </c>
      <c r="E30" s="6" t="n">
        <f aca="false">D30/$H$2</f>
        <v>0.03125</v>
      </c>
      <c r="F30" s="15" t="s">
        <v>36</v>
      </c>
      <c r="H30" s="14" t="s">
        <v>70</v>
      </c>
    </row>
    <row r="31" customFormat="false" ht="45.75" hidden="false" customHeight="true" outlineLevel="0" collapsed="false">
      <c r="A31" s="9" t="s">
        <v>47</v>
      </c>
      <c r="B31" s="10" t="s">
        <v>64</v>
      </c>
      <c r="C31" s="10" t="s">
        <v>71</v>
      </c>
      <c r="D31" s="11" t="n">
        <v>19629</v>
      </c>
      <c r="E31" s="12" t="n">
        <f aca="false">D31/$H$2</f>
        <v>0.0306703125</v>
      </c>
      <c r="F31" s="16" t="s">
        <v>36</v>
      </c>
      <c r="H31" s="14"/>
    </row>
    <row r="32" customFormat="false" ht="45.75" hidden="false" customHeight="true" outlineLevel="0" collapsed="false">
      <c r="A32" s="3" t="s">
        <v>47</v>
      </c>
      <c r="B32" s="4" t="s">
        <v>58</v>
      </c>
      <c r="C32" s="4" t="s">
        <v>72</v>
      </c>
      <c r="D32" s="5" t="n">
        <v>18526</v>
      </c>
      <c r="E32" s="6" t="n">
        <f aca="false">D32/$H$2</f>
        <v>0.028946875</v>
      </c>
      <c r="F32" s="15" t="s">
        <v>36</v>
      </c>
      <c r="H32" s="14"/>
    </row>
    <row r="33" customFormat="false" ht="45.75" hidden="false" customHeight="true" outlineLevel="0" collapsed="false">
      <c r="A33" s="9" t="s">
        <v>47</v>
      </c>
      <c r="B33" s="10" t="s">
        <v>52</v>
      </c>
      <c r="C33" s="10" t="s">
        <v>73</v>
      </c>
      <c r="D33" s="11" t="n">
        <v>16158</v>
      </c>
      <c r="E33" s="12" t="n">
        <f aca="false">D33/$H$2</f>
        <v>0.025246875</v>
      </c>
      <c r="F33" s="16" t="s">
        <v>36</v>
      </c>
      <c r="H33" s="14"/>
    </row>
    <row r="34" customFormat="false" ht="45.75" hidden="false" customHeight="true" outlineLevel="0" collapsed="false">
      <c r="A34" s="3" t="s">
        <v>47</v>
      </c>
      <c r="B34" s="4" t="s">
        <v>64</v>
      </c>
      <c r="C34" s="4" t="s">
        <v>74</v>
      </c>
      <c r="D34" s="5" t="n">
        <v>6164</v>
      </c>
      <c r="E34" s="6" t="n">
        <f aca="false">D34/$H$2</f>
        <v>0.00963125</v>
      </c>
      <c r="F34" s="15" t="s">
        <v>36</v>
      </c>
    </row>
    <row r="35" customFormat="false" ht="45.75" hidden="false" customHeight="true" outlineLevel="0" collapsed="false">
      <c r="A35" s="9" t="s">
        <v>49</v>
      </c>
      <c r="B35" s="10" t="s">
        <v>32</v>
      </c>
      <c r="C35" s="10" t="s">
        <v>75</v>
      </c>
      <c r="D35" s="11" t="n">
        <v>5698</v>
      </c>
      <c r="E35" s="12" t="n">
        <f aca="false">D35/$H$2</f>
        <v>0.008903125</v>
      </c>
      <c r="F35" s="16" t="s">
        <v>36</v>
      </c>
      <c r="H35" s="14" t="s">
        <v>76</v>
      </c>
    </row>
    <row r="36" customFormat="false" ht="45.75" hidden="false" customHeight="true" outlineLevel="0" collapsed="false">
      <c r="A36" s="3" t="s">
        <v>47</v>
      </c>
      <c r="B36" s="4" t="s">
        <v>64</v>
      </c>
      <c r="C36" s="4" t="s">
        <v>77</v>
      </c>
      <c r="D36" s="5" t="n">
        <v>3050</v>
      </c>
      <c r="E36" s="6" t="n">
        <f aca="false">D36/$H$2</f>
        <v>0.004765625</v>
      </c>
      <c r="F36" s="15" t="s">
        <v>36</v>
      </c>
      <c r="H36" s="14"/>
    </row>
    <row r="37" customFormat="false" ht="45.75" hidden="false" customHeight="true" outlineLevel="0" collapsed="false">
      <c r="A37" s="9" t="s">
        <v>49</v>
      </c>
      <c r="B37" s="10" t="s">
        <v>13</v>
      </c>
      <c r="C37" s="10" t="s">
        <v>78</v>
      </c>
      <c r="D37" s="11" t="n">
        <v>105312</v>
      </c>
      <c r="E37" s="12" t="n">
        <f aca="false">D37/$H$2</f>
        <v>0.16455</v>
      </c>
      <c r="F37" s="17" t="s">
        <v>79</v>
      </c>
      <c r="H37" s="14"/>
    </row>
    <row r="38" customFormat="false" ht="45.75" hidden="false" customHeight="true" outlineLevel="0" collapsed="false">
      <c r="A38" s="3" t="s">
        <v>49</v>
      </c>
      <c r="B38" s="4" t="s">
        <v>80</v>
      </c>
      <c r="C38" s="4" t="s">
        <v>81</v>
      </c>
      <c r="D38" s="5" t="n">
        <v>90806</v>
      </c>
      <c r="E38" s="6" t="n">
        <f aca="false">D38/$H$2</f>
        <v>0.141884375</v>
      </c>
      <c r="F38" s="18" t="s">
        <v>79</v>
      </c>
      <c r="H38" s="14"/>
    </row>
    <row r="39" customFormat="false" ht="45.75" hidden="false" customHeight="true" outlineLevel="0" collapsed="false">
      <c r="A39" s="9" t="s">
        <v>31</v>
      </c>
      <c r="B39" s="10" t="s">
        <v>34</v>
      </c>
      <c r="C39" s="10" t="s">
        <v>82</v>
      </c>
      <c r="D39" s="11" t="n">
        <v>21722</v>
      </c>
      <c r="E39" s="12" t="n">
        <f aca="false">D39/$H$2</f>
        <v>0.033940625</v>
      </c>
      <c r="F39" s="17" t="s">
        <v>79</v>
      </c>
    </row>
  </sheetData>
  <autoFilter ref="A1:F39"/>
  <mergeCells count="7">
    <mergeCell ref="H5:H8"/>
    <mergeCell ref="H10:H13"/>
    <mergeCell ref="H15:H18"/>
    <mergeCell ref="H20:H23"/>
    <mergeCell ref="H25:H28"/>
    <mergeCell ref="H30:H33"/>
    <mergeCell ref="H35: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2"/>
    <col collapsed="false" customWidth="true" hidden="false" outlineLevel="0" max="4" min="4" style="0" width="62"/>
  </cols>
  <sheetData>
    <row r="1" customFormat="false" ht="15" hidden="false" customHeight="false" outlineLevel="0" collapsed="false">
      <c r="A1" s="1" t="s">
        <v>83</v>
      </c>
      <c r="B1" s="1" t="s">
        <v>84</v>
      </c>
      <c r="C1" s="1" t="s">
        <v>85</v>
      </c>
      <c r="D1" s="1" t="s">
        <v>86</v>
      </c>
    </row>
    <row r="2" customFormat="false" ht="61.5" hidden="false" customHeight="true" outlineLevel="0" collapsed="false">
      <c r="A2" s="19" t="s">
        <v>10</v>
      </c>
      <c r="B2" s="10" t="s">
        <v>87</v>
      </c>
      <c r="C2" s="9" t="n">
        <f aca="false">COUNTIF('Catalogo de problemas'!$F$2:$F$39,A2)</f>
        <v>10</v>
      </c>
      <c r="D2" s="10" t="s">
        <v>88</v>
      </c>
    </row>
    <row r="3" customFormat="false" ht="61.5" hidden="false" customHeight="true" outlineLevel="0" collapsed="false">
      <c r="A3" s="20" t="s">
        <v>36</v>
      </c>
      <c r="B3" s="10" t="s">
        <v>89</v>
      </c>
      <c r="C3" s="9" t="n">
        <f aca="false">COUNTIF('Catalogo de problemas'!$F$2:$F$39,A3)</f>
        <v>25</v>
      </c>
      <c r="D3" s="10" t="s">
        <v>90</v>
      </c>
    </row>
    <row r="4" customFormat="false" ht="61.5" hidden="false" customHeight="true" outlineLevel="0" collapsed="false">
      <c r="A4" s="21" t="s">
        <v>79</v>
      </c>
      <c r="B4" s="10" t="s">
        <v>91</v>
      </c>
      <c r="C4" s="9" t="n">
        <f aca="false">COUNTIF('Catalogo de problemas'!$F$2:$F$39,A4)</f>
        <v>3</v>
      </c>
      <c r="D4" s="10" t="s">
        <v>92</v>
      </c>
    </row>
    <row r="6" customFormat="false" ht="15" hidden="false" customHeight="false" outlineLevel="0" collapsed="false">
      <c r="A6" s="22" t="s">
        <v>93</v>
      </c>
      <c r="C6" s="23" t="n">
        <f aca="false">COUNTA('Catalogo de problemas'!$F$2:$F$39)</f>
        <v>38</v>
      </c>
    </row>
    <row r="8" customFormat="false" ht="15" hidden="false" customHeight="true" outlineLevel="0" collapsed="false">
      <c r="A8" s="24" t="s">
        <v>94</v>
      </c>
      <c r="B8" s="24"/>
      <c r="C8" s="24"/>
      <c r="D8" s="24"/>
    </row>
    <row r="9" customFormat="false" ht="15" hidden="false" customHeight="false" outlineLevel="0" collapsed="false">
      <c r="A9" s="24"/>
      <c r="B9" s="24"/>
      <c r="C9" s="24"/>
      <c r="D9" s="24"/>
    </row>
  </sheetData>
  <mergeCells count="1">
    <mergeCell ref="A8: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2026-08-10T21:34:48Z</dcterms:created>
  <dc:creator>openpyxl</dc:creator>
  <dc:description/>
  <dc:language>en-US</dc:language>
  <cp:lastModifiedBy/>
  <dcterms:modified xsi:type="dcterms:W3CDTF">2026-08-10T21:34:48Z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